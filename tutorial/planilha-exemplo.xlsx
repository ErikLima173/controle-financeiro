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Nathy" sheetId="1" state="visible" r:id="rId1"/>
    <sheet name="Gastos vini" sheetId="2" state="visible" r:id="rId2"/>
    <sheet name="Total finanças" sheetId="3" state="visible" r:id="rId3"/>
    <sheet name="Gastos" sheetId="4" state="hidden" r:id="rId4"/>
  </sheets>
  <definedNames>
    <definedName name="Totalgastonathy">'Gastos Nathy'!$O$1:$O$13</definedName>
    <definedName name="Totalrestantenathy">'Gastos Nathy'!$Q$1:$Q$13</definedName>
    <definedName name="Totalgastovini">'Gastos vini'!$J$1:$J$13</definedName>
    <definedName name="Totalrestantevini">'Gastos vini'!$K$1:$K$13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 -416]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Gastos_Mensais" displayName="Gastos_Mensais" ref="A1:Q13" headerRowCount="1">
  <autoFilter ref="A1:Q13"/>
  <tableColumns count="17">
    <tableColumn id="1" name="Mes"/>
    <tableColumn id="2" name="Cartão"/>
    <tableColumn id="3" name="Academia"/>
    <tableColumn id="4" name="Óculos"/>
    <tableColumn id="5" name="máquina"/>
    <tableColumn id="6" name="PC"/>
    <tableColumn id="7" name="Areia Gatos"/>
    <tableColumn id="8" name="Ração Athena"/>
    <tableColumn id="9" name="Ração Gatos"/>
    <tableColumn id="10" name="Comida"/>
    <tableColumn id="11" name="Compras"/>
    <tableColumn id="12" name="Jogos"/>
    <tableColumn id="13" name="Gasolina"/>
    <tableColumn id="14" name="Outros"/>
    <tableColumn id="15" name="Total Gasto"/>
    <tableColumn id="16" name="Salário"/>
    <tableColumn id="17" name="Total restante"/>
  </tableColumns>
  <tableStyleInfo name="TableStyleMedium2" showFirstColumn="1" showRowStripes="1"/>
</table>
</file>

<file path=xl/tables/table2.xml><?xml version="1.0" encoding="utf-8"?>
<table xmlns="http://schemas.openxmlformats.org/spreadsheetml/2006/main" id="2" name="Gasto_Mensal" displayName="Gasto_Mensal" ref="A1:K14" headerRowCount="1">
  <autoFilter ref="A1:K14"/>
  <tableColumns count="11">
    <tableColumn id="1" name="Mês"/>
    <tableColumn id="2" name="Faculdade"/>
    <tableColumn id="3" name="Internet"/>
    <tableColumn id="4" name="Seguro Carro"/>
    <tableColumn id="5" name="academia"/>
    <tableColumn id="6" name="Aluguel"/>
    <tableColumn id="7" name="Água"/>
    <tableColumn id="8" name="Gastos extras"/>
    <tableColumn id="9" name="Salário"/>
    <tableColumn id="10" name="Total Gasto"/>
    <tableColumn id="11" name="Total Restante"/>
  </tableColumns>
  <tableStyleInfo name="TableStyleMedium2" showFirstColumn="1" showRowStripes="1"/>
</table>
</file>

<file path=xl/tables/table3.xml><?xml version="1.0" encoding="utf-8"?>
<table xmlns="http://schemas.openxmlformats.org/spreadsheetml/2006/main" id="3" name="Monthly_Finances_Review" displayName="Monthly_Finances_Review" ref="A1:D13" headerRowCount="1">
  <autoFilter ref="A1:D13"/>
  <tableColumns count="4">
    <tableColumn id="1" name="mes"/>
    <tableColumn id="2" name="Total Recebido"/>
    <tableColumn id="3" name="Total Gasto"/>
    <tableColumn id="4" name="Total Restante"/>
  </tableColumns>
  <tableStyleInfo name="TableStyleMedium2" showFirstColumn="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Mes</t>
        </is>
      </c>
      <c r="B1" s="1" t="inlineStr">
        <is>
          <t>Cartão</t>
        </is>
      </c>
      <c r="C1" s="1" t="inlineStr">
        <is>
          <t>Academia</t>
        </is>
      </c>
      <c r="D1" s="1" t="inlineStr">
        <is>
          <t>Óculos</t>
        </is>
      </c>
      <c r="E1" s="1" t="inlineStr">
        <is>
          <t>máquina</t>
        </is>
      </c>
      <c r="F1" s="1" t="inlineStr">
        <is>
          <t>PC</t>
        </is>
      </c>
      <c r="G1" s="1" t="inlineStr">
        <is>
          <t>Areia Gatos</t>
        </is>
      </c>
      <c r="H1" s="1" t="inlineStr">
        <is>
          <t>Ração Athena</t>
        </is>
      </c>
      <c r="I1" s="1" t="inlineStr">
        <is>
          <t>Ração Gatos</t>
        </is>
      </c>
      <c r="J1" s="1" t="inlineStr">
        <is>
          <t>Comida</t>
        </is>
      </c>
      <c r="K1" s="1" t="inlineStr">
        <is>
          <t>Compras</t>
        </is>
      </c>
      <c r="L1" s="1" t="inlineStr">
        <is>
          <t>Jogos</t>
        </is>
      </c>
      <c r="M1" s="1" t="inlineStr">
        <is>
          <t>Gasolina</t>
        </is>
      </c>
      <c r="N1" s="1" t="inlineStr">
        <is>
          <t>Outros</t>
        </is>
      </c>
      <c r="O1" s="1" t="inlineStr">
        <is>
          <t>Total Gasto</t>
        </is>
      </c>
      <c r="P1" s="1" t="inlineStr">
        <is>
          <t>Salário</t>
        </is>
      </c>
      <c r="Q1" s="1" t="inlineStr">
        <is>
          <t>Total restante</t>
        </is>
      </c>
    </row>
    <row r="2">
      <c r="A2" t="inlineStr">
        <is>
          <t>Janeiro</t>
        </is>
      </c>
      <c r="B2" s="2" t="n">
        <v>1052.02</v>
      </c>
      <c r="C2" s="2" t="n">
        <v>99.90000000000001</v>
      </c>
      <c r="G2" s="2" t="n">
        <v>59.92</v>
      </c>
      <c r="H2" s="2" t="n">
        <v>90.3</v>
      </c>
      <c r="I2" s="2" t="n">
        <v>118.66</v>
      </c>
      <c r="J2" s="2" t="n">
        <v>582.64</v>
      </c>
      <c r="M2" s="2" t="n">
        <v>274.2</v>
      </c>
      <c r="O2" s="2">
        <f>SUM(B2:N2)</f>
        <v>2277.64</v>
      </c>
      <c r="P2" s="2" t="n">
        <v>3450</v>
      </c>
      <c r="Q2" s="2">
        <f>P2-O2</f>
        <v>1172.36</v>
      </c>
    </row>
    <row r="3">
      <c r="A3" t="inlineStr">
        <is>
          <t>Fevereiro</t>
        </is>
      </c>
      <c r="B3" s="2" t="n">
        <v>680.04</v>
      </c>
      <c r="C3" s="2" t="n">
        <v>99.90000000000001</v>
      </c>
      <c r="H3" s="2" t="n">
        <v>112.83</v>
      </c>
      <c r="I3" s="2" t="n">
        <v>87.7</v>
      </c>
      <c r="J3" s="2" t="n">
        <v>395.29</v>
      </c>
      <c r="K3" s="2" t="n">
        <v>171.44</v>
      </c>
      <c r="L3" s="2" t="n">
        <v>164.71</v>
      </c>
      <c r="M3" s="2" t="n">
        <v>196.26</v>
      </c>
      <c r="O3" s="2">
        <f>SUM(B3:N3)</f>
        <v>1908.17</v>
      </c>
      <c r="P3" s="2" t="n">
        <v>3450</v>
      </c>
      <c r="Q3" s="2">
        <f>P3-O3</f>
        <v>1541.83</v>
      </c>
    </row>
    <row r="4">
      <c r="A4" t="inlineStr">
        <is>
          <t>Março</t>
        </is>
      </c>
      <c r="B4" s="2" t="n">
        <v>1081.68</v>
      </c>
      <c r="C4" s="2" t="n">
        <v>99.90000000000001</v>
      </c>
      <c r="H4" s="2" t="n">
        <v>138.33</v>
      </c>
      <c r="I4" s="2" t="n">
        <v>98.98</v>
      </c>
      <c r="J4" s="2" t="n">
        <v>703.15</v>
      </c>
      <c r="L4" s="2" t="n">
        <v>176.75</v>
      </c>
      <c r="M4" s="2" t="n">
        <v>242.3</v>
      </c>
      <c r="O4" s="2">
        <f>SUM(B4:N4)</f>
        <v>2541.09</v>
      </c>
      <c r="P4" s="2" t="n">
        <v>3450</v>
      </c>
      <c r="Q4" s="2">
        <f>P4-O4</f>
        <v>908.91</v>
      </c>
    </row>
    <row r="5">
      <c r="A5" t="inlineStr">
        <is>
          <t>Abril</t>
        </is>
      </c>
      <c r="B5" s="2" t="n">
        <v>1356.13</v>
      </c>
      <c r="C5" s="2" t="n">
        <v>99.90000000000001</v>
      </c>
      <c r="E5" s="2" t="n">
        <v>60</v>
      </c>
      <c r="G5" s="2" t="n">
        <v>41.08</v>
      </c>
      <c r="H5" s="2" t="n">
        <v>90.22</v>
      </c>
      <c r="I5" s="2" t="n">
        <v>84.84</v>
      </c>
      <c r="J5" s="2" t="n">
        <v>626.8099999999999</v>
      </c>
      <c r="K5" s="2" t="n">
        <v>278.16</v>
      </c>
      <c r="M5" s="2" t="n">
        <v>245.08</v>
      </c>
      <c r="O5" s="2">
        <f>SUM(B5:N5)</f>
        <v>2882.22</v>
      </c>
      <c r="P5" s="2" t="n">
        <v>3450</v>
      </c>
      <c r="Q5" s="2">
        <f>P5-O5</f>
        <v>567.78</v>
      </c>
    </row>
    <row r="6">
      <c r="A6" t="inlineStr">
        <is>
          <t>Maio</t>
        </is>
      </c>
      <c r="B6" s="2" t="n">
        <v>492.1</v>
      </c>
      <c r="C6" s="2" t="n">
        <v>99.90000000000001</v>
      </c>
      <c r="D6" s="2" t="n">
        <v>480</v>
      </c>
      <c r="G6" s="2" t="n">
        <v>60.79</v>
      </c>
      <c r="H6" s="2" t="n">
        <v>139.94</v>
      </c>
      <c r="I6" s="2" t="n">
        <v>109.14</v>
      </c>
      <c r="J6" s="2" t="n">
        <v>651.36</v>
      </c>
      <c r="K6" s="2" t="n">
        <v>235.56</v>
      </c>
      <c r="L6" s="2" t="n">
        <v>41.4</v>
      </c>
      <c r="M6" s="2" t="n">
        <v>217.74</v>
      </c>
      <c r="N6" s="2" t="n">
        <v>141.16</v>
      </c>
      <c r="O6" s="2">
        <f>SUM(B6:N6)</f>
        <v>2669.09</v>
      </c>
      <c r="P6" s="2" t="n">
        <v>3450</v>
      </c>
      <c r="Q6" s="2">
        <f>P6-O6</f>
        <v>780.91</v>
      </c>
    </row>
    <row r="7">
      <c r="A7" t="inlineStr">
        <is>
          <t>Junho</t>
        </is>
      </c>
      <c r="B7" s="2" t="n">
        <v>1311.73</v>
      </c>
      <c r="C7" s="2" t="n">
        <v>99.90000000000001</v>
      </c>
      <c r="E7" s="2" t="n">
        <v>60</v>
      </c>
      <c r="G7" s="2" t="n">
        <v>51.87</v>
      </c>
      <c r="H7" s="2" t="n">
        <v>102.71</v>
      </c>
      <c r="I7" s="2" t="n">
        <v>90.48999999999999</v>
      </c>
      <c r="J7" s="2" t="n">
        <v>693.49</v>
      </c>
      <c r="M7" s="2" t="n">
        <v>286.94</v>
      </c>
      <c r="N7" s="2" t="n">
        <v>180.33</v>
      </c>
      <c r="O7" s="2">
        <f>SUM(B7:N7)</f>
        <v>2877.46</v>
      </c>
      <c r="P7" s="2" t="n">
        <v>3450</v>
      </c>
      <c r="Q7" s="2">
        <f>P7-O7</f>
        <v>572.54</v>
      </c>
    </row>
    <row r="8">
      <c r="A8" t="inlineStr">
        <is>
          <t>Julho</t>
        </is>
      </c>
      <c r="B8" s="2" t="n">
        <v>1198.65</v>
      </c>
      <c r="C8" s="2" t="n">
        <v>99.90000000000001</v>
      </c>
      <c r="F8" s="2" t="n">
        <v>3299.9</v>
      </c>
      <c r="G8" s="2" t="n">
        <v>50.84</v>
      </c>
      <c r="H8" s="2" t="n">
        <v>94.93000000000001</v>
      </c>
      <c r="I8" s="2" t="n">
        <v>103.69</v>
      </c>
      <c r="J8" s="2" t="n">
        <v>668.17</v>
      </c>
      <c r="K8" s="2" t="n">
        <v>381.1</v>
      </c>
      <c r="M8" s="2" t="n">
        <v>274.05</v>
      </c>
      <c r="N8" s="2" t="n">
        <v>172.72</v>
      </c>
      <c r="O8" s="2">
        <f>SUM(B8:N8)</f>
        <v>6343.95</v>
      </c>
      <c r="P8" s="2" t="n">
        <v>3450</v>
      </c>
      <c r="Q8" s="2">
        <f>P8-O8</f>
        <v>-2893.95</v>
      </c>
    </row>
    <row r="9">
      <c r="A9" t="inlineStr">
        <is>
          <t>Agosto</t>
        </is>
      </c>
      <c r="B9" s="2" t="n">
        <v>510.92</v>
      </c>
      <c r="C9" s="2" t="n">
        <v>99.90000000000001</v>
      </c>
      <c r="G9" s="2" t="n">
        <v>43.36</v>
      </c>
      <c r="H9" s="2" t="n">
        <v>137.62</v>
      </c>
      <c r="I9" s="2" t="n">
        <v>102.16</v>
      </c>
      <c r="J9" s="2" t="n">
        <v>375.36</v>
      </c>
      <c r="K9" s="2" t="n">
        <v>288.66</v>
      </c>
      <c r="M9" s="2" t="n">
        <v>278.83</v>
      </c>
      <c r="N9" s="2" t="n">
        <v>49.01</v>
      </c>
      <c r="O9" s="2">
        <f>SUM(B9:N9)</f>
        <v>1885.82</v>
      </c>
      <c r="P9" s="2" t="n">
        <v>3450</v>
      </c>
      <c r="Q9" s="2">
        <f>P9-O9</f>
        <v>1564.18</v>
      </c>
    </row>
    <row r="10">
      <c r="A10" t="inlineStr">
        <is>
          <t>Setembro</t>
        </is>
      </c>
      <c r="B10" s="2" t="n">
        <v>1385.42</v>
      </c>
      <c r="C10" s="2" t="n">
        <v>99.90000000000001</v>
      </c>
      <c r="G10" s="2" t="n">
        <v>48.97</v>
      </c>
      <c r="H10" s="2" t="n">
        <v>112.89</v>
      </c>
      <c r="I10" s="2" t="n">
        <v>82.69</v>
      </c>
      <c r="J10" s="2" t="n">
        <v>342.99</v>
      </c>
      <c r="K10" s="2" t="n">
        <v>8.82</v>
      </c>
      <c r="M10" s="2" t="n">
        <v>261.91</v>
      </c>
      <c r="O10" s="2">
        <f>SUM(B10:N10)</f>
        <v>2343.59</v>
      </c>
      <c r="P10" s="2" t="n">
        <v>3450</v>
      </c>
      <c r="Q10" s="2">
        <f>P10-O10</f>
        <v>1106.41</v>
      </c>
    </row>
    <row r="11">
      <c r="A11" t="inlineStr">
        <is>
          <t>Outubro</t>
        </is>
      </c>
      <c r="O11" s="2">
        <f>SUM(B11:N11)</f>
        <v>0</v>
      </c>
      <c r="Q11" s="2">
        <f>P11-O11</f>
        <v>0</v>
      </c>
    </row>
    <row r="12">
      <c r="A12" t="inlineStr">
        <is>
          <t>Novembro</t>
        </is>
      </c>
      <c r="O12" s="2">
        <f>SUM(B12:N12)</f>
        <v>0</v>
      </c>
      <c r="Q12" s="2">
        <f>P12-O12</f>
        <v>0</v>
      </c>
    </row>
    <row r="13">
      <c r="A13" t="inlineStr">
        <is>
          <t>Dezembro</t>
        </is>
      </c>
      <c r="O13" s="2">
        <f>SUM(B13:N13)</f>
        <v>0</v>
      </c>
      <c r="Q13" s="2">
        <f>P13-O13</f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Mês</t>
        </is>
      </c>
      <c r="B1" s="1" t="inlineStr">
        <is>
          <t>Faculdade</t>
        </is>
      </c>
      <c r="C1" s="1" t="inlineStr">
        <is>
          <t>Internet</t>
        </is>
      </c>
      <c r="D1" s="1" t="inlineStr">
        <is>
          <t>Seguro Carro</t>
        </is>
      </c>
      <c r="E1" s="1" t="inlineStr">
        <is>
          <t>academia</t>
        </is>
      </c>
      <c r="F1" s="1" t="inlineStr">
        <is>
          <t>Aluguel</t>
        </is>
      </c>
      <c r="G1" s="1" t="inlineStr">
        <is>
          <t>Água</t>
        </is>
      </c>
      <c r="H1" s="1" t="inlineStr">
        <is>
          <t>Gastos extras</t>
        </is>
      </c>
      <c r="I1" s="1" t="inlineStr">
        <is>
          <t>Salário</t>
        </is>
      </c>
      <c r="J1" s="1" t="inlineStr">
        <is>
          <t>Total Gasto</t>
        </is>
      </c>
      <c r="K1" s="1" t="inlineStr">
        <is>
          <t>Total Restante</t>
        </is>
      </c>
    </row>
    <row r="2">
      <c r="A2" t="inlineStr">
        <is>
          <t>Janeiro</t>
        </is>
      </c>
      <c r="B2" s="2" t="n">
        <v>450</v>
      </c>
      <c r="C2" s="2" t="n">
        <v>99.90000000000001</v>
      </c>
      <c r="D2" s="2" t="n">
        <v>187.35</v>
      </c>
      <c r="F2" s="2" t="n">
        <v>1150</v>
      </c>
      <c r="G2" s="2" t="n">
        <v>50</v>
      </c>
      <c r="I2" s="2" t="n">
        <v>2980</v>
      </c>
      <c r="J2" s="2">
        <f>SUM(B2:H2)</f>
        <v>1937.25</v>
      </c>
      <c r="K2" s="2">
        <f>I2-J2</f>
        <v>1042.75</v>
      </c>
    </row>
    <row r="3">
      <c r="A3" t="inlineStr">
        <is>
          <t>Fevereiro</t>
        </is>
      </c>
      <c r="B3" s="2" t="n">
        <v>450</v>
      </c>
      <c r="C3" s="2" t="n">
        <v>99.90000000000001</v>
      </c>
      <c r="D3" s="2" t="n">
        <v>187.35</v>
      </c>
      <c r="E3" s="2" t="n">
        <v>89.90000000000001</v>
      </c>
      <c r="F3" s="2" t="n">
        <v>1150</v>
      </c>
      <c r="G3" s="2" t="n">
        <v>51.15</v>
      </c>
      <c r="H3" s="2" t="n">
        <v>420.25</v>
      </c>
      <c r="I3" s="2" t="n">
        <v>2980</v>
      </c>
      <c r="J3" s="2">
        <f>SUM(B3:H3)</f>
        <v>2448.55</v>
      </c>
      <c r="K3" s="2">
        <f>I3-J3</f>
        <v>531.45</v>
      </c>
    </row>
    <row r="4">
      <c r="A4" t="inlineStr">
        <is>
          <t>Março</t>
        </is>
      </c>
      <c r="B4" s="2" t="n">
        <v>450</v>
      </c>
      <c r="C4" s="2" t="n">
        <v>99.90000000000001</v>
      </c>
      <c r="D4" s="2" t="n">
        <v>187.35</v>
      </c>
      <c r="E4" s="2" t="n">
        <v>89.90000000000001</v>
      </c>
      <c r="F4" s="2" t="n">
        <v>1150</v>
      </c>
      <c r="G4" s="2" t="n">
        <v>46.35</v>
      </c>
      <c r="I4" s="2" t="n">
        <v>2980</v>
      </c>
      <c r="J4" s="2">
        <f>SUM(B4:H4)</f>
        <v>2023.5</v>
      </c>
      <c r="K4" s="2">
        <f>I4-J4</f>
        <v>956.5</v>
      </c>
    </row>
    <row r="5">
      <c r="A5" t="inlineStr">
        <is>
          <t>Abril</t>
        </is>
      </c>
      <c r="B5" s="2" t="n">
        <v>450</v>
      </c>
      <c r="C5" s="2" t="n">
        <v>99.90000000000001</v>
      </c>
      <c r="D5" s="2" t="n">
        <v>187.35</v>
      </c>
      <c r="F5" s="2" t="n">
        <v>1150</v>
      </c>
      <c r="G5" s="2" t="n">
        <v>47.74</v>
      </c>
      <c r="H5" s="2" t="n">
        <v>109.76</v>
      </c>
      <c r="I5" s="2" t="n">
        <v>2980</v>
      </c>
      <c r="J5" s="2">
        <f>SUM(B5:H5)</f>
        <v>2044.75</v>
      </c>
      <c r="K5" s="2">
        <f>I5-J5</f>
        <v>935.25</v>
      </c>
    </row>
    <row r="6">
      <c r="A6" t="inlineStr">
        <is>
          <t>Maio</t>
        </is>
      </c>
      <c r="B6" s="2" t="n">
        <v>450</v>
      </c>
      <c r="C6" s="2" t="n">
        <v>99.90000000000001</v>
      </c>
      <c r="D6" s="2" t="n">
        <v>187.35</v>
      </c>
      <c r="E6" s="2" t="n">
        <v>89.90000000000001</v>
      </c>
      <c r="F6" s="2" t="n">
        <v>1150</v>
      </c>
      <c r="G6" s="2" t="n">
        <v>68.56</v>
      </c>
      <c r="I6" s="2" t="n">
        <v>2980</v>
      </c>
      <c r="J6" s="2">
        <f>SUM(B6:H6)</f>
        <v>2045.71</v>
      </c>
      <c r="K6" s="2">
        <f>I6-J6</f>
        <v>934.29</v>
      </c>
    </row>
    <row r="7">
      <c r="A7" t="inlineStr">
        <is>
          <t>Junho</t>
        </is>
      </c>
      <c r="B7" s="2" t="n">
        <v>450</v>
      </c>
      <c r="C7" s="2" t="n">
        <v>99.90000000000001</v>
      </c>
      <c r="D7" s="2" t="n">
        <v>187.35</v>
      </c>
      <c r="E7" s="2" t="n">
        <v>89.90000000000001</v>
      </c>
      <c r="F7" s="2" t="n">
        <v>1150</v>
      </c>
      <c r="G7" s="2" t="n">
        <v>65.52</v>
      </c>
      <c r="H7" s="2" t="n">
        <v>130.8</v>
      </c>
      <c r="I7" s="2" t="n">
        <v>4470</v>
      </c>
      <c r="J7" s="2">
        <f>SUM(B7:H7)</f>
        <v>2173.47</v>
      </c>
      <c r="K7" s="2">
        <f>I7-J7</f>
        <v>2296.53</v>
      </c>
    </row>
    <row r="8">
      <c r="A8" t="inlineStr">
        <is>
          <t>Julho</t>
        </is>
      </c>
      <c r="B8" s="2" t="n">
        <v>450</v>
      </c>
      <c r="C8" s="2" t="n">
        <v>99.90000000000001</v>
      </c>
      <c r="D8" s="2" t="n">
        <v>187.35</v>
      </c>
      <c r="F8" s="2" t="n">
        <v>1150</v>
      </c>
      <c r="G8" s="2" t="n">
        <v>67.44</v>
      </c>
      <c r="I8" s="2" t="n">
        <v>2980</v>
      </c>
      <c r="J8" s="2">
        <f>SUM(B8:H8)</f>
        <v>1954.69</v>
      </c>
      <c r="K8" s="2">
        <f>I8-J8</f>
        <v>1025.31</v>
      </c>
    </row>
    <row r="9">
      <c r="A9" t="inlineStr">
        <is>
          <t>Agosto</t>
        </is>
      </c>
      <c r="B9" s="2" t="n">
        <v>450</v>
      </c>
      <c r="C9" s="2" t="n">
        <v>99.90000000000001</v>
      </c>
      <c r="D9" s="2" t="n">
        <v>187.35</v>
      </c>
      <c r="E9" s="2" t="n">
        <v>89.90000000000001</v>
      </c>
      <c r="F9" s="2" t="n">
        <v>1150</v>
      </c>
      <c r="G9" s="2" t="n">
        <v>38.26</v>
      </c>
      <c r="H9" s="2" t="n">
        <v>186.1</v>
      </c>
      <c r="I9" s="2" t="n">
        <v>2980</v>
      </c>
      <c r="J9" s="2">
        <f>SUM(B9:H9)</f>
        <v>2201.51</v>
      </c>
      <c r="K9" s="2">
        <f>I9-J9</f>
        <v>778.49</v>
      </c>
    </row>
    <row r="10">
      <c r="A10" t="inlineStr">
        <is>
          <t>Setembro</t>
        </is>
      </c>
      <c r="B10" s="2" t="n">
        <v>450</v>
      </c>
      <c r="C10" s="2" t="n">
        <v>99.90000000000001</v>
      </c>
      <c r="D10" s="2" t="n">
        <v>187.35</v>
      </c>
      <c r="E10" s="2" t="n">
        <v>89.90000000000001</v>
      </c>
      <c r="F10" s="2" t="n">
        <v>1150</v>
      </c>
      <c r="G10" s="2" t="n">
        <v>43.97</v>
      </c>
      <c r="I10" s="2" t="n">
        <v>2980</v>
      </c>
      <c r="J10" s="2">
        <f>SUM(B10:H10)</f>
        <v>2021.12</v>
      </c>
      <c r="K10" s="2">
        <f>I10-J10</f>
        <v>958.88</v>
      </c>
    </row>
    <row r="11">
      <c r="A11" t="inlineStr">
        <is>
          <t>Outubro</t>
        </is>
      </c>
      <c r="J11" s="2">
        <f>SUM(B11:H11)</f>
        <v>0</v>
      </c>
      <c r="K11" s="2">
        <f>I11-J11</f>
        <v>0</v>
      </c>
    </row>
    <row r="12">
      <c r="A12" t="inlineStr">
        <is>
          <t>Novembro</t>
        </is>
      </c>
      <c r="J12" s="2">
        <f>SUM(B12:H12)</f>
        <v>0</v>
      </c>
      <c r="K12" s="2">
        <f>I12-J12</f>
        <v>0</v>
      </c>
    </row>
    <row r="13">
      <c r="A13" t="inlineStr">
        <is>
          <t>Dezembro</t>
        </is>
      </c>
      <c r="J13" s="2">
        <f>SUM(B13:H13)</f>
        <v>0</v>
      </c>
      <c r="K13" s="2">
        <f>I13-J13</f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mes</t>
        </is>
      </c>
      <c r="B1" s="1" t="inlineStr">
        <is>
          <t>Total Recebido</t>
        </is>
      </c>
      <c r="C1" s="1" t="inlineStr">
        <is>
          <t>Total Gasto</t>
        </is>
      </c>
      <c r="D1" s="1" t="inlineStr">
        <is>
          <t>Total Restante</t>
        </is>
      </c>
    </row>
    <row r="2">
      <c r="A2" t="inlineStr">
        <is>
          <t>janeiro</t>
        </is>
      </c>
      <c r="B2" s="2">
        <f>SUM('Gastos Nathy'!P2+'Gastos vini'!I2)</f>
        <v>6430</v>
      </c>
      <c r="C2" s="2">
        <f>SUM('Gastos Nathy'!O2+'Gastos vini'!J2)</f>
        <v>4214.89</v>
      </c>
      <c r="D2" s="2">
        <f>B2-C2</f>
        <v>2215.11</v>
      </c>
    </row>
    <row r="3">
      <c r="A3" t="inlineStr">
        <is>
          <t>fevereiro</t>
        </is>
      </c>
      <c r="B3" s="2">
        <f>SUM('Gastos Nathy'!P3+'Gastos vini'!I3)</f>
        <v>6430</v>
      </c>
      <c r="C3" s="2">
        <f>SUM('Gastos Nathy'!O3+'Gastos vini'!J3)</f>
        <v>4356.72</v>
      </c>
      <c r="D3" s="2">
        <f>B3-C3</f>
        <v>2073.28</v>
      </c>
    </row>
    <row r="4">
      <c r="A4" t="inlineStr">
        <is>
          <t>março</t>
        </is>
      </c>
      <c r="B4" s="2">
        <f>SUM('Gastos Nathy'!P4+'Gastos vini'!I4)</f>
        <v>6430</v>
      </c>
      <c r="C4" s="2">
        <f>SUM('Gastos Nathy'!O4+'Gastos vini'!J4)</f>
        <v>4564.59</v>
      </c>
      <c r="D4" s="2">
        <f>B4-C4</f>
        <v>1865.41</v>
      </c>
    </row>
    <row r="5">
      <c r="A5" t="inlineStr">
        <is>
          <t>abril</t>
        </is>
      </c>
      <c r="B5" s="2">
        <f>SUM('Gastos Nathy'!P5+'Gastos vini'!I5)</f>
        <v>6430</v>
      </c>
      <c r="C5" s="2">
        <f>SUM('Gastos Nathy'!O5+'Gastos vini'!J5)</f>
        <v>4926.97</v>
      </c>
      <c r="D5" s="2">
        <f>B5-C5</f>
        <v>1503.03</v>
      </c>
    </row>
    <row r="6">
      <c r="A6" t="inlineStr">
        <is>
          <t>maio</t>
        </is>
      </c>
      <c r="B6" s="2">
        <f>SUM('Gastos Nathy'!P6+'Gastos vini'!I6)</f>
        <v>6430</v>
      </c>
      <c r="C6" s="2">
        <f>SUM('Gastos Nathy'!O6+'Gastos vini'!J6)</f>
        <v>4714.8</v>
      </c>
      <c r="D6" s="2">
        <f>B6-C6</f>
        <v>1715.2</v>
      </c>
    </row>
    <row r="7">
      <c r="A7" t="inlineStr">
        <is>
          <t>junho</t>
        </is>
      </c>
      <c r="B7" s="2">
        <f>SUM('Gastos Nathy'!P7+'Gastos vini'!I7)</f>
        <v>7920</v>
      </c>
      <c r="C7" s="2">
        <f>SUM('Gastos Nathy'!O7+'Gastos vini'!J7)</f>
        <v>5050.93</v>
      </c>
      <c r="D7" s="2">
        <f>B7-C7</f>
        <v>2869.07</v>
      </c>
    </row>
    <row r="8">
      <c r="A8" t="inlineStr">
        <is>
          <t>julho</t>
        </is>
      </c>
      <c r="B8" s="2">
        <f>SUM('Gastos Nathy'!P8+'Gastos vini'!I8)</f>
        <v>6430</v>
      </c>
      <c r="C8" s="2">
        <f>SUM('Gastos Nathy'!O8+'Gastos vini'!J8)</f>
        <v>8298.64</v>
      </c>
      <c r="D8" s="2">
        <f>B8-C8</f>
        <v>-1868.64</v>
      </c>
    </row>
    <row r="9">
      <c r="A9" t="inlineStr">
        <is>
          <t>agosto</t>
        </is>
      </c>
      <c r="B9" s="2">
        <f>SUM('Gastos Nathy'!P9+'Gastos vini'!I9)</f>
        <v>6430</v>
      </c>
      <c r="C9" s="2">
        <f>SUM('Gastos Nathy'!O9+'Gastos vini'!J9)</f>
        <v>4087.33</v>
      </c>
      <c r="D9" s="2">
        <f>B9-C9</f>
        <v>2342.67</v>
      </c>
    </row>
    <row r="10">
      <c r="A10" t="inlineStr">
        <is>
          <t>setembro</t>
        </is>
      </c>
      <c r="B10" s="2">
        <f>SUM('Gastos Nathy'!P10+'Gastos vini'!I10)</f>
        <v>6430</v>
      </c>
      <c r="C10" s="2">
        <f>SUM('Gastos Nathy'!O10+'Gastos vini'!J10)</f>
        <v>4364.71</v>
      </c>
      <c r="D10" s="2">
        <f>B10-C10</f>
        <v>2065.29</v>
      </c>
    </row>
    <row r="11">
      <c r="A11" t="inlineStr">
        <is>
          <t>outubro</t>
        </is>
      </c>
      <c r="B11" s="2">
        <f>SUM('Gastos Nathy'!P11+'Gastos vini'!I11)</f>
        <v>0</v>
      </c>
      <c r="C11" s="2">
        <f>SUM('Gastos Nathy'!O11+'Gastos vini'!J11)</f>
        <v>0</v>
      </c>
      <c r="D11" s="2">
        <f>B11-C11</f>
        <v>0</v>
      </c>
    </row>
    <row r="12">
      <c r="A12" t="inlineStr">
        <is>
          <t>novembro</t>
        </is>
      </c>
      <c r="B12" s="2">
        <f>SUM('Gastos Nathy'!P12+'Gastos vini'!I12)</f>
        <v>0</v>
      </c>
      <c r="C12" s="2">
        <f>SUM('Gastos Nathy'!O12+'Gastos vini'!J12)</f>
        <v>0</v>
      </c>
      <c r="D12" s="2">
        <f>B12-C12</f>
        <v>0</v>
      </c>
    </row>
    <row r="13">
      <c r="A13" t="inlineStr">
        <is>
          <t>dezembro</t>
        </is>
      </c>
      <c r="B13" s="2">
        <f>SUM('Gastos Nathy'!P13+'Gastos vini'!I13)</f>
        <v>0</v>
      </c>
      <c r="C13" s="2">
        <f>SUM('Gastos Nathy'!O13+'Gastos vini'!J13)</f>
        <v>0</v>
      </c>
      <c r="D13" s="2">
        <f>B13-C13</f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t="inlineStr">
        <is>
          <t>Mes</t>
        </is>
      </c>
      <c r="B1" t="n">
        <v>2025</v>
      </c>
    </row>
    <row r="2">
      <c r="B2" t="inlineStr">
        <is>
          <t>aluguel</t>
        </is>
      </c>
      <c r="C2" t="inlineStr">
        <is>
          <t xml:space="preserve">luz </t>
        </is>
      </c>
      <c r="D2" t="inlineStr">
        <is>
          <t>agua</t>
        </is>
      </c>
      <c r="E2" t="inlineStr">
        <is>
          <t>internet</t>
        </is>
      </c>
      <c r="F2" t="inlineStr">
        <is>
          <t>faculdade</t>
        </is>
      </c>
      <c r="G2" t="inlineStr">
        <is>
          <t>youtube</t>
        </is>
      </c>
      <c r="H2" t="inlineStr">
        <is>
          <t>tvbox</t>
        </is>
      </c>
      <c r="I2" t="inlineStr">
        <is>
          <t xml:space="preserve">parcela tv </t>
        </is>
      </c>
      <c r="J2" t="inlineStr">
        <is>
          <t>parcela ps5</t>
        </is>
      </c>
      <c r="K2" t="inlineStr">
        <is>
          <t>Gastos extras</t>
        </is>
      </c>
      <c r="L2" t="inlineStr">
        <is>
          <t>ração porquinho</t>
        </is>
      </c>
      <c r="M2" t="inlineStr">
        <is>
          <t>ração athena</t>
        </is>
      </c>
      <c r="N2" t="inlineStr">
        <is>
          <t>ração gato</t>
        </is>
      </c>
      <c r="O2" t="inlineStr">
        <is>
          <t>total gasto</t>
        </is>
      </c>
      <c r="P2" t="inlineStr">
        <is>
          <t>Valor recebido</t>
        </is>
      </c>
      <c r="Q2" t="inlineStr">
        <is>
          <t xml:space="preserve">valor restante </t>
        </is>
      </c>
    </row>
    <row r="3">
      <c r="A3" s="2" t="inlineStr">
        <is>
          <t>março</t>
        </is>
      </c>
      <c r="B3" s="2" t="n">
        <v>1150</v>
      </c>
      <c r="C3" s="2" t="n">
        <v>75.48999999999999</v>
      </c>
      <c r="D3" s="2" t="n">
        <v>43.41</v>
      </c>
      <c r="E3" s="2" t="n">
        <v>99.90000000000001</v>
      </c>
      <c r="F3" s="2" t="n">
        <v>450</v>
      </c>
      <c r="G3" s="2" t="n">
        <v>24.9</v>
      </c>
      <c r="H3" s="2" t="n">
        <v>35</v>
      </c>
      <c r="I3" s="2" t="n">
        <v>180</v>
      </c>
      <c r="J3" s="2" t="n">
        <v>275</v>
      </c>
      <c r="O3" s="2">
        <f>SUM(B3:N3)</f>
        <v>2333.7</v>
      </c>
      <c r="P3" s="2" t="n">
        <v>3200</v>
      </c>
      <c r="Q3" s="2">
        <f>P3-O3</f>
        <v>866.3</v>
      </c>
    </row>
    <row r="4">
      <c r="A4" s="2" t="inlineStr">
        <is>
          <t>abril</t>
        </is>
      </c>
      <c r="B4" s="2" t="n">
        <v>1150</v>
      </c>
      <c r="C4" s="2" t="n">
        <v>81.44</v>
      </c>
      <c r="D4" s="2" t="n">
        <v>35.99</v>
      </c>
      <c r="E4" s="2" t="n">
        <v>99.90000000000001</v>
      </c>
      <c r="F4" s="2" t="n">
        <v>450</v>
      </c>
      <c r="G4" s="2" t="n">
        <v>24.9</v>
      </c>
      <c r="H4" s="2" t="n">
        <v>35</v>
      </c>
      <c r="I4" s="2" t="n">
        <v>180</v>
      </c>
      <c r="J4" s="2" t="n">
        <v>275</v>
      </c>
      <c r="K4" s="2" t="n">
        <v>787.34</v>
      </c>
      <c r="O4" s="2">
        <f>SUM(B4:N4)</f>
        <v>3119.57</v>
      </c>
      <c r="P4" s="2" t="n">
        <v>3200</v>
      </c>
      <c r="Q4" s="2">
        <f>P4-O4</f>
        <v>80.43</v>
      </c>
    </row>
    <row r="5">
      <c r="A5" s="2" t="inlineStr">
        <is>
          <t>maio</t>
        </is>
      </c>
      <c r="B5" s="2" t="n">
        <v>1150</v>
      </c>
      <c r="C5" s="2" t="n">
        <v>102.21</v>
      </c>
      <c r="D5" s="2" t="n">
        <v>54.42</v>
      </c>
      <c r="E5" s="2" t="n">
        <v>99.90000000000001</v>
      </c>
      <c r="F5" s="2" t="n">
        <v>450</v>
      </c>
      <c r="G5" s="2" t="n">
        <v>24.9</v>
      </c>
      <c r="H5" s="2" t="n">
        <v>35</v>
      </c>
      <c r="I5" s="2" t="n">
        <v>180</v>
      </c>
      <c r="J5" s="2" t="n">
        <v>275</v>
      </c>
      <c r="K5" s="2" t="n">
        <v>500.38</v>
      </c>
      <c r="O5" s="2">
        <f>SUM(B5:N5)</f>
        <v>2871.81</v>
      </c>
      <c r="P5" s="2" t="n">
        <v>3200</v>
      </c>
      <c r="Q5" s="2">
        <f>P5-O5</f>
        <v>328.19</v>
      </c>
    </row>
    <row r="6">
      <c r="A6" s="2" t="inlineStr">
        <is>
          <t xml:space="preserve">junho </t>
        </is>
      </c>
      <c r="B6" s="2" t="n">
        <v>1150</v>
      </c>
      <c r="C6" s="2" t="n">
        <v>83.11</v>
      </c>
      <c r="D6" s="2" t="n">
        <v>44.95</v>
      </c>
      <c r="E6" s="2" t="n">
        <v>99.90000000000001</v>
      </c>
      <c r="F6" s="2" t="n">
        <v>450</v>
      </c>
      <c r="G6" s="2" t="n">
        <v>24.9</v>
      </c>
      <c r="H6" s="2" t="n">
        <v>35</v>
      </c>
      <c r="I6" s="2" t="n">
        <v>180</v>
      </c>
      <c r="J6" s="2" t="n">
        <v>275</v>
      </c>
      <c r="K6" s="2" t="n">
        <v>577.4</v>
      </c>
      <c r="O6" s="2">
        <f>SUM(B6:N6)</f>
        <v>2920.26</v>
      </c>
      <c r="P6" s="2" t="n">
        <v>3200</v>
      </c>
      <c r="Q6" s="2">
        <f>P6-O6</f>
        <v>279.74</v>
      </c>
    </row>
    <row r="7">
      <c r="A7" s="2" t="inlineStr">
        <is>
          <t xml:space="preserve">julho </t>
        </is>
      </c>
      <c r="B7" s="2" t="n">
        <v>1150</v>
      </c>
      <c r="C7" s="2" t="n">
        <v>85.98</v>
      </c>
      <c r="D7" s="2" t="n">
        <v>59.22</v>
      </c>
      <c r="E7" s="2" t="n">
        <v>99.90000000000001</v>
      </c>
      <c r="F7" s="2" t="n">
        <v>450</v>
      </c>
      <c r="G7" s="2" t="n">
        <v>24.9</v>
      </c>
      <c r="H7" s="2" t="n">
        <v>35</v>
      </c>
      <c r="I7" s="2" t="n">
        <v>180</v>
      </c>
      <c r="J7" s="2" t="n">
        <v>275</v>
      </c>
      <c r="O7" s="2">
        <f>SUM(B7:N7)</f>
        <v>2360</v>
      </c>
      <c r="P7" s="2" t="n">
        <v>3200</v>
      </c>
      <c r="Q7" s="2">
        <f>P7-O7</f>
        <v>840</v>
      </c>
    </row>
    <row r="8">
      <c r="A8" s="2" t="inlineStr">
        <is>
          <t>agosto</t>
        </is>
      </c>
      <c r="B8" s="2" t="n">
        <v>1150</v>
      </c>
      <c r="C8" s="2" t="n">
        <v>90.18000000000001</v>
      </c>
      <c r="E8" s="2" t="n">
        <v>99.90000000000001</v>
      </c>
      <c r="F8" s="2" t="n">
        <v>450</v>
      </c>
      <c r="G8" s="2" t="n">
        <v>24.9</v>
      </c>
      <c r="H8" s="2" t="n">
        <v>35</v>
      </c>
      <c r="I8" s="2" t="n">
        <v>180</v>
      </c>
      <c r="J8" s="2" t="n">
        <v>275</v>
      </c>
      <c r="O8" s="2">
        <f>SUM(B8:N8)</f>
        <v>2304.98</v>
      </c>
      <c r="P8" s="2" t="n">
        <v>3200</v>
      </c>
      <c r="Q8" s="2">
        <f>P8-O8</f>
        <v>895.02</v>
      </c>
    </row>
    <row r="9">
      <c r="A9" s="2" t="inlineStr">
        <is>
          <t>setembro</t>
        </is>
      </c>
      <c r="B9" s="2" t="n">
        <v>1150</v>
      </c>
      <c r="E9" s="2" t="n">
        <v>99.90000000000001</v>
      </c>
      <c r="F9" s="2" t="n">
        <v>450</v>
      </c>
      <c r="G9" s="2" t="n">
        <v>24.9</v>
      </c>
      <c r="H9" s="2" t="n">
        <v>35</v>
      </c>
      <c r="I9" s="2" t="n">
        <v>180</v>
      </c>
      <c r="J9" s="2" t="n">
        <v>275</v>
      </c>
      <c r="O9" s="2">
        <f>SUM(B9:N9)</f>
        <v>2214.8</v>
      </c>
      <c r="P9" s="2" t="n">
        <v>3200</v>
      </c>
      <c r="Q9" s="2">
        <f>P9-O9</f>
        <v>985.2</v>
      </c>
    </row>
    <row r="10">
      <c r="A10" s="2" t="inlineStr">
        <is>
          <t>outubro</t>
        </is>
      </c>
      <c r="B10" s="2" t="n">
        <v>1150</v>
      </c>
      <c r="E10" s="2" t="n">
        <v>99.90000000000001</v>
      </c>
      <c r="F10" s="2" t="n">
        <v>450</v>
      </c>
      <c r="G10" s="2" t="n">
        <v>24.9</v>
      </c>
      <c r="H10" s="2" t="n">
        <v>35</v>
      </c>
      <c r="I10" s="2" t="n">
        <v>180</v>
      </c>
      <c r="J10" s="2" t="n">
        <v>275</v>
      </c>
      <c r="O10" s="2">
        <f>SUM(B10:N10)</f>
        <v>2214.8</v>
      </c>
      <c r="P10" s="2" t="n">
        <v>3200</v>
      </c>
      <c r="Q10" s="2">
        <f>P10-O10</f>
        <v>985.2</v>
      </c>
    </row>
    <row r="11">
      <c r="A11" s="2" t="inlineStr">
        <is>
          <t>novembro</t>
        </is>
      </c>
      <c r="B11" s="2" t="n">
        <v>1150</v>
      </c>
      <c r="E11" s="2" t="n">
        <v>99.90000000000001</v>
      </c>
      <c r="F11" s="2" t="n">
        <v>450</v>
      </c>
      <c r="G11" s="2" t="n">
        <v>24.9</v>
      </c>
      <c r="H11" s="2" t="n">
        <v>35</v>
      </c>
      <c r="I11" s="2" t="n">
        <v>180</v>
      </c>
      <c r="J11" s="2" t="n">
        <v>275</v>
      </c>
      <c r="O11" s="2">
        <f>SUM(B11:N11)</f>
        <v>2214.8</v>
      </c>
      <c r="P11" s="2" t="n">
        <v>3200</v>
      </c>
      <c r="Q11" s="2">
        <f>P11-O11</f>
        <v>985.2</v>
      </c>
    </row>
    <row r="12">
      <c r="A12" s="2" t="inlineStr">
        <is>
          <t>dezembro</t>
        </is>
      </c>
      <c r="B12" s="2" t="n">
        <v>1150</v>
      </c>
      <c r="E12" s="2" t="n">
        <v>99.90000000000001</v>
      </c>
      <c r="F12" s="2" t="n">
        <v>450</v>
      </c>
      <c r="G12" s="2" t="n">
        <v>24.9</v>
      </c>
      <c r="H12" s="2" t="n">
        <v>35</v>
      </c>
      <c r="J12" s="2" t="n">
        <v>275</v>
      </c>
      <c r="O12" s="2">
        <f>SUM(B12:N12)</f>
        <v>2034.8</v>
      </c>
      <c r="P12" s="2" t="n">
        <v>3200</v>
      </c>
      <c r="Q12" s="2">
        <f>P12-O12</f>
        <v>1165.2</v>
      </c>
    </row>
    <row r="13">
      <c r="A13" t="n">
        <v>2026</v>
      </c>
    </row>
    <row r="14">
      <c r="A14" t="inlineStr">
        <is>
          <t>Janeiro</t>
        </is>
      </c>
      <c r="B14" s="2" t="n">
        <v>1150</v>
      </c>
      <c r="E14" s="2" t="n">
        <v>99.90000000000001</v>
      </c>
      <c r="G14" s="2" t="n">
        <v>24.9</v>
      </c>
      <c r="H14" s="2" t="n">
        <v>35</v>
      </c>
      <c r="J14" s="2" t="n">
        <v>275</v>
      </c>
    </row>
    <row r="15">
      <c r="A15" t="inlineStr">
        <is>
          <t>fevereiro</t>
        </is>
      </c>
      <c r="B15" s="2" t="n">
        <v>1150</v>
      </c>
      <c r="E15" s="2" t="n">
        <v>99.90000000000001</v>
      </c>
      <c r="G15" s="2" t="n">
        <v>24.9</v>
      </c>
      <c r="H15" s="2" t="n">
        <v>35</v>
      </c>
    </row>
    <row r="16">
      <c r="A16" t="inlineStr">
        <is>
          <t>março</t>
        </is>
      </c>
      <c r="B16" s="2" t="n">
        <v>1150</v>
      </c>
      <c r="E16" s="2" t="n">
        <v>99.90000000000001</v>
      </c>
      <c r="G16" s="2" t="n">
        <v>24.9</v>
      </c>
      <c r="H16" s="2" t="n">
        <v>35</v>
      </c>
    </row>
    <row r="17">
      <c r="A17" t="inlineStr">
        <is>
          <t>abril</t>
        </is>
      </c>
      <c r="B17" s="2" t="n">
        <v>1150</v>
      </c>
      <c r="E17" s="2" t="n">
        <v>99.90000000000001</v>
      </c>
      <c r="G17" s="2" t="n">
        <v>24.9</v>
      </c>
      <c r="H17" s="2" t="n">
        <v>35</v>
      </c>
    </row>
    <row r="18">
      <c r="A18" t="inlineStr">
        <is>
          <t>maio</t>
        </is>
      </c>
      <c r="B18" s="2" t="n">
        <v>1150</v>
      </c>
      <c r="E18" s="2" t="n">
        <v>99.90000000000001</v>
      </c>
      <c r="G18" s="2" t="n">
        <v>24.9</v>
      </c>
      <c r="H18" s="2" t="n">
        <v>35</v>
      </c>
    </row>
    <row r="19">
      <c r="A19" t="inlineStr">
        <is>
          <t xml:space="preserve">junho </t>
        </is>
      </c>
      <c r="B19" s="2" t="n">
        <v>1150</v>
      </c>
      <c r="E19" s="2" t="n">
        <v>99.90000000000001</v>
      </c>
      <c r="G19" s="2" t="n">
        <v>24.9</v>
      </c>
      <c r="H19" s="2" t="n">
        <v>35</v>
      </c>
    </row>
    <row r="20">
      <c r="A20" t="inlineStr">
        <is>
          <t xml:space="preserve">julho </t>
        </is>
      </c>
      <c r="B20" s="2" t="n">
        <v>1150</v>
      </c>
      <c r="E20" s="2" t="n">
        <v>99.90000000000001</v>
      </c>
      <c r="G20" s="2" t="n">
        <v>24.9</v>
      </c>
      <c r="H20" s="2" t="n">
        <v>35</v>
      </c>
    </row>
    <row r="21">
      <c r="A21" t="inlineStr">
        <is>
          <t>agosto</t>
        </is>
      </c>
      <c r="B21" s="2" t="n">
        <v>1150</v>
      </c>
      <c r="E21" s="2" t="n">
        <v>99.90000000000001</v>
      </c>
      <c r="G21" s="2" t="n">
        <v>24.9</v>
      </c>
      <c r="H21" s="2" t="n">
        <v>35</v>
      </c>
    </row>
    <row r="22">
      <c r="A22" t="inlineStr">
        <is>
          <t>setembro</t>
        </is>
      </c>
      <c r="B22" s="2" t="n">
        <v>1150</v>
      </c>
      <c r="E22" s="2" t="n">
        <v>99.90000000000001</v>
      </c>
      <c r="G22" s="2" t="n">
        <v>24.9</v>
      </c>
      <c r="H22" s="2" t="n">
        <v>35</v>
      </c>
    </row>
    <row r="23">
      <c r="A23" t="inlineStr">
        <is>
          <t>outubro</t>
        </is>
      </c>
      <c r="B23" s="2" t="n">
        <v>1150</v>
      </c>
      <c r="E23" s="2" t="n">
        <v>99.90000000000001</v>
      </c>
      <c r="G23" s="2" t="n">
        <v>24.9</v>
      </c>
      <c r="H23" s="2" t="n">
        <v>35</v>
      </c>
    </row>
    <row r="24">
      <c r="A24" t="inlineStr">
        <is>
          <t>novembro</t>
        </is>
      </c>
      <c r="B24" s="2" t="n">
        <v>1150</v>
      </c>
      <c r="E24" s="2" t="n">
        <v>99.90000000000001</v>
      </c>
      <c r="G24" s="2" t="n">
        <v>24.9</v>
      </c>
      <c r="H24" s="2" t="n">
        <v>35</v>
      </c>
    </row>
    <row r="25">
      <c r="A25" t="inlineStr">
        <is>
          <t>dezembro</t>
        </is>
      </c>
      <c r="B25" s="2" t="n">
        <v>1150</v>
      </c>
      <c r="E25" s="2" t="n">
        <v>99.90000000000001</v>
      </c>
      <c r="G25" s="2" t="n">
        <v>24.9</v>
      </c>
      <c r="H25" s="2" t="n">
        <v>35</v>
      </c>
    </row>
  </sheetData>
  <mergeCells count="3">
    <mergeCell ref="A13:Q13"/>
    <mergeCell ref="B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2026-10-05T03:04:11Z</dcterms:created>
  <dcterms:modified xsi:type="dcterms:W3CDTF">2026-10-05T03:04:11Z</dcterms:modified>
</cp:coreProperties>
</file>